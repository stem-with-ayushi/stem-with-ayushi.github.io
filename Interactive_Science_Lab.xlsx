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⚡ Projectile Motion" sheetId="1" r:id="rId1"/>
    <sheet name="🧬 Genetics &amp; Punnett" sheetId="2" r:id="rId2"/>
    <sheet name="🌱 Population Ecology" sheetId="3" r:id="rId3"/>
  </sheets>
  <calcPr calcId="124519" fullCalcOnLoad="1"/>
</workbook>
</file>

<file path=xl/sharedStrings.xml><?xml version="1.0" encoding="utf-8"?>
<sst xmlns="http://schemas.openxmlformats.org/spreadsheetml/2006/main" count="39" uniqueCount="38">
  <si>
    <t>⚡ Interactive Projectile Motion Simulator</t>
  </si>
  <si>
    <t>1. Experiment Inputs (Edit Yellow Cells)</t>
  </si>
  <si>
    <t>Initial Velocity (v₀, m/s):</t>
  </si>
  <si>
    <t>Launch Angle (θ, degrees):</t>
  </si>
  <si>
    <t>Gravity (g, m/s²):</t>
  </si>
  <si>
    <t>2. Calculated Physical Quantities</t>
  </si>
  <si>
    <t>Total Flight Time (s):</t>
  </si>
  <si>
    <t>Maximum Height (m):</t>
  </si>
  <si>
    <t>Total Range / Distance (m):</t>
  </si>
  <si>
    <t>Initial Vx (Horizontal, m/s):</t>
  </si>
  <si>
    <t>Initial Vy (Vertical, m/s):</t>
  </si>
  <si>
    <t>3. Trajectory Points</t>
  </si>
  <si>
    <t>Time (s)</t>
  </si>
  <si>
    <t>X Position (m)</t>
  </si>
  <si>
    <t>Y Position (m)</t>
  </si>
  <si>
    <t>🧬 Interactive Monohybrid Punnett Square</t>
  </si>
  <si>
    <t>1. Select Parental Genotypes</t>
  </si>
  <si>
    <t>Parent 1 Genotype:</t>
  </si>
  <si>
    <t>Aa</t>
  </si>
  <si>
    <t>Parent 2 Genotype:</t>
  </si>
  <si>
    <t>2. Expected Ratios</t>
  </si>
  <si>
    <t>Genotype Ratio</t>
  </si>
  <si>
    <t>Count (/4)</t>
  </si>
  <si>
    <t>Percentage</t>
  </si>
  <si>
    <t>Homozygous Dominant (AA)</t>
  </si>
  <si>
    <t>Heterozygous (Aa / aA)</t>
  </si>
  <si>
    <t>Homozygous Recessive (aa)</t>
  </si>
  <si>
    <t>3. Phenotypic Expression (A = Dominant)</t>
  </si>
  <si>
    <t>Dominant Trait (Purple Flower)</t>
  </si>
  <si>
    <t>Recessive Trait (White Flower)</t>
  </si>
  <si>
    <t>🌱 Logistic Population Growth Model (dN/dt)</t>
  </si>
  <si>
    <t>Parameters</t>
  </si>
  <si>
    <t>Initial Population (N₀):</t>
  </si>
  <si>
    <t>Carrying Capacity (K):</t>
  </si>
  <si>
    <t>Growth Rate (r):</t>
  </si>
  <si>
    <t>Population vs Time</t>
  </si>
  <si>
    <t>Time (Generations)</t>
  </si>
  <si>
    <t>Population (N)</t>
  </si>
</sst>
</file>

<file path=xl/styles.xml><?xml version="1.0" encoding="utf-8"?>
<styleSheet xmlns="http://schemas.openxmlformats.org/spreadsheetml/2006/main">
  <numFmts count="2">
    <numFmt numFmtId="164" formatCode="0.00"/>
    <numFmt numFmtId="165" formatCode="0.0%"/>
  </numFmts>
  <fonts count="11">
    <font>
      <sz val="11"/>
      <color theme="1"/>
      <name val="Calibri"/>
      <family val="2"/>
      <scheme val="minor"/>
    </font>
    <font>
      <b/>
      <sz val="16"/>
      <color rgb="FFFFFFFF"/>
      <name val="Calibri"/>
      <family val="2"/>
      <scheme val="minor"/>
    </font>
    <font>
      <b/>
      <sz val="12"/>
      <color rgb="FF1E3A8A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854D0E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rgb="FF166534"/>
      <name val="Calibri"/>
      <family val="2"/>
      <scheme val="minor"/>
    </font>
    <font>
      <b/>
      <sz val="12"/>
      <color rgb="FF065F46"/>
      <name val="Calibri"/>
      <family val="2"/>
      <scheme val="minor"/>
    </font>
    <font>
      <b/>
      <sz val="14"/>
      <color rgb="FF065F46"/>
      <name val="Calibri"/>
      <family val="2"/>
      <scheme val="minor"/>
    </font>
    <font>
      <b/>
      <sz val="14"/>
      <color rgb="FF047857"/>
      <name val="Calibri"/>
      <family val="2"/>
      <scheme val="minor"/>
    </font>
    <font>
      <b/>
      <sz val="12"/>
      <color rgb="FF78350F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1E3A8A"/>
        <bgColor indexed="64"/>
      </patternFill>
    </fill>
    <fill>
      <patternFill patternType="solid">
        <fgColor rgb="FFDBEAFE"/>
        <bgColor indexed="64"/>
      </patternFill>
    </fill>
    <fill>
      <patternFill patternType="solid">
        <fgColor rgb="FFFEF08A"/>
        <bgColor indexed="64"/>
      </patternFill>
    </fill>
    <fill>
      <patternFill patternType="solid">
        <fgColor rgb="FF2563EB"/>
        <bgColor indexed="64"/>
      </patternFill>
    </fill>
    <fill>
      <patternFill patternType="solid">
        <fgColor rgb="FFDCFCE7"/>
        <bgColor indexed="64"/>
      </patternFill>
    </fill>
    <fill>
      <patternFill patternType="solid">
        <fgColor rgb="FF065F46"/>
        <bgColor indexed="64"/>
      </patternFill>
    </fill>
    <fill>
      <patternFill patternType="solid">
        <fgColor rgb="FFD1FAE5"/>
        <bgColor indexed="64"/>
      </patternFill>
    </fill>
    <fill>
      <patternFill patternType="solid">
        <fgColor rgb="FFA7F3D0"/>
        <bgColor indexed="64"/>
      </patternFill>
    </fill>
    <fill>
      <patternFill patternType="solid">
        <fgColor rgb="FFECFDF5"/>
        <bgColor indexed="64"/>
      </patternFill>
    </fill>
    <fill>
      <patternFill patternType="solid">
        <fgColor rgb="FF78350F"/>
        <bgColor indexed="64"/>
      </patternFill>
    </fill>
    <fill>
      <patternFill patternType="solid">
        <fgColor rgb="FFFEF3C7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medium">
        <color rgb="FF1E3A8A"/>
      </bottom>
      <diagonal/>
    </border>
    <border>
      <left style="medium">
        <color rgb="FFEAB308"/>
      </left>
      <right style="medium">
        <color rgb="FFEAB308"/>
      </right>
      <top style="medium">
        <color rgb="FFEAB308"/>
      </top>
      <bottom style="medium">
        <color rgb="FFEAB30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22C55E"/>
      </left>
      <right style="thin">
        <color rgb="FF22C55E"/>
      </right>
      <top style="thin">
        <color rgb="FF22C55E"/>
      </top>
      <bottom style="thin">
        <color rgb="FF22C55E"/>
      </bottom>
      <diagonal/>
    </border>
    <border>
      <left/>
      <right/>
      <top/>
      <bottom style="medium">
        <color rgb="FF065F46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/>
      <bottom style="medium">
        <color rgb="FF78350F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/>
    <xf numFmtId="0" fontId="3" fillId="0" borderId="0" xfId="0" applyFont="1" applyAlignment="1">
      <alignment vertical="center"/>
    </xf>
    <xf numFmtId="0" fontId="4" fillId="4" borderId="2" xfId="0" applyFont="1" applyFill="1" applyBorder="1" applyAlignment="1">
      <alignment horizontal="center" vertical="center"/>
    </xf>
    <xf numFmtId="0" fontId="5" fillId="5" borderId="3" xfId="0" applyFont="1" applyFill="1" applyBorder="1" applyAlignment="1">
      <alignment horizontal="center" vertical="center"/>
    </xf>
    <xf numFmtId="164" fontId="0" fillId="0" borderId="3" xfId="0" applyNumberFormat="1" applyBorder="1" applyAlignment="1">
      <alignment horizontal="center" vertical="center"/>
    </xf>
    <xf numFmtId="164" fontId="6" fillId="6" borderId="4" xfId="0" applyNumberFormat="1" applyFont="1" applyFill="1" applyBorder="1" applyAlignment="1">
      <alignment horizontal="center" vertical="center"/>
    </xf>
    <xf numFmtId="0" fontId="1" fillId="7" borderId="0" xfId="0" applyFont="1" applyFill="1" applyAlignment="1">
      <alignment horizontal="center" vertical="center"/>
    </xf>
    <xf numFmtId="0" fontId="7" fillId="8" borderId="5" xfId="0" applyFont="1" applyFill="1" applyBorder="1"/>
    <xf numFmtId="0" fontId="0" fillId="0" borderId="3" xfId="0" applyBorder="1" applyAlignment="1">
      <alignment horizontal="center" vertical="center"/>
    </xf>
    <xf numFmtId="165" fontId="0" fillId="0" borderId="3" xfId="0" applyNumberFormat="1" applyBorder="1" applyAlignment="1">
      <alignment horizontal="center"/>
    </xf>
    <xf numFmtId="0" fontId="8" fillId="9" borderId="3" xfId="0" applyFont="1" applyFill="1" applyBorder="1" applyAlignment="1">
      <alignment horizontal="center" vertical="center"/>
    </xf>
    <xf numFmtId="0" fontId="9" fillId="10" borderId="6" xfId="0" applyFont="1" applyFill="1" applyBorder="1" applyAlignment="1">
      <alignment horizontal="center" vertical="center"/>
    </xf>
    <xf numFmtId="0" fontId="1" fillId="11" borderId="0" xfId="0" applyFont="1" applyFill="1" applyAlignment="1">
      <alignment horizontal="center" vertical="center"/>
    </xf>
    <xf numFmtId="0" fontId="10" fillId="12" borderId="7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Interactive Flight Path (X vs Y)</a:t>
            </a:r>
          </a:p>
        </c:rich>
      </c:tx>
      <c:layout/>
    </c:title>
    <c:plotArea>
      <c:layout/>
      <c:scatterChart>
        <c:scatterStyle val="smoothMarker"/>
        <c:ser>
          <c:idx val="0"/>
          <c:order val="0"/>
          <c:tx>
            <c:v>Trajectory (Flight Path)</c:v>
          </c:tx>
          <c:spPr>
            <a:ln w="31750">
              <a:solidFill>
                <a:srgbClr val="2563EB"/>
              </a:solidFill>
            </a:ln>
          </c:spPr>
          <c:marker>
            <c:symbol val="none"/>
          </c:marker>
          <c:xVal>
            <c:numRef>
              <c:f>'⚡ Projectile Motion'!$G$6:$G$26</c:f>
              <c:numCache>
                <c:formatCode>General</c:formatCode>
                <c:ptCount val="21"/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xVal>
          <c:yVal>
            <c:numRef>
              <c:f>'⚡ Projectile Motion'!$H$6:$H$26</c:f>
              <c:numCache>
                <c:formatCode>General</c:formatCode>
                <c:ptCount val="21"/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yVal>
          <c:smooth val="1"/>
        </c:ser>
        <c:axId val="50010001"/>
        <c:axId val="50010002"/>
      </c:scatterChart>
      <c:val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Horizontal Distance (m)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Height (m)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S-Curve: Population Approaching Carrying Capacity (K)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Population (N)</c:v>
          </c:tx>
          <c:spPr>
            <a:ln w="31750">
              <a:solidFill>
                <a:srgbClr val="16A34A"/>
              </a:solidFill>
            </a:ln>
          </c:spPr>
          <c:marker>
            <c:symbol val="none"/>
          </c:marker>
          <c:cat>
            <c:numRef>
              <c:f>'🌱 Population Ecology'!$E$6:$E$30</c:f>
              <c:numCache>
                <c:formatCode>General</c:formatCode>
                <c:ptCount val="25"/>
                <c:pt idx="1">
                  <c:v>0</c:v>
                </c:pt>
                <c:pt idx="2">
                  <c:v>1</c:v>
                </c:pt>
                <c:pt idx="3">
                  <c:v>2</c:v>
                </c:pt>
                <c:pt idx="4">
                  <c:v>3</c:v>
                </c:pt>
                <c:pt idx="5">
                  <c:v>4</c:v>
                </c:pt>
                <c:pt idx="6">
                  <c:v>5</c:v>
                </c:pt>
                <c:pt idx="7">
                  <c:v>6</c:v>
                </c:pt>
                <c:pt idx="8">
                  <c:v>7</c:v>
                </c:pt>
                <c:pt idx="9">
                  <c:v>8</c:v>
                </c:pt>
                <c:pt idx="10">
                  <c:v>9</c:v>
                </c:pt>
                <c:pt idx="11">
                  <c:v>10</c:v>
                </c:pt>
                <c:pt idx="12">
                  <c:v>11</c:v>
                </c:pt>
                <c:pt idx="13">
                  <c:v>12</c:v>
                </c:pt>
                <c:pt idx="14">
                  <c:v>13</c:v>
                </c:pt>
                <c:pt idx="15">
                  <c:v>14</c:v>
                </c:pt>
                <c:pt idx="16">
                  <c:v>15</c:v>
                </c:pt>
                <c:pt idx="17">
                  <c:v>16</c:v>
                </c:pt>
                <c:pt idx="18">
                  <c:v>17</c:v>
                </c:pt>
                <c:pt idx="19">
                  <c:v>18</c:v>
                </c:pt>
                <c:pt idx="20">
                  <c:v>19</c:v>
                </c:pt>
                <c:pt idx="21">
                  <c:v>20</c:v>
                </c:pt>
                <c:pt idx="22">
                  <c:v>21</c:v>
                </c:pt>
                <c:pt idx="23">
                  <c:v>22</c:v>
                </c:pt>
                <c:pt idx="24">
                  <c:v>23</c:v>
                </c:pt>
              </c:numCache>
            </c:numRef>
          </c:cat>
          <c:val>
            <c:numRef>
              <c:f>'🌱 Population Ecology'!$F$6:$F$30</c:f>
              <c:numCache>
                <c:formatCode>General</c:formatCode>
                <c:ptCount val="25"/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</c:numCache>
            </c:numRef>
          </c:val>
        </c:ser>
        <c:marker val="1"/>
        <c:axId val="50020001"/>
        <c:axId val="50020002"/>
      </c:lineChart>
      <c:catAx>
        <c:axId val="5002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(Generations)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Population (N)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15</xdr:row>
      <xdr:rowOff>0</xdr:rowOff>
    </xdr:from>
    <xdr:to>
      <xdr:col>4</xdr:col>
      <xdr:colOff>828675</xdr:colOff>
      <xdr:row>30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9</xdr:row>
      <xdr:rowOff>0</xdr:rowOff>
    </xdr:from>
    <xdr:to>
      <xdr:col>5</xdr:col>
      <xdr:colOff>495300</xdr:colOff>
      <xdr:row>23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B2:H27"/>
  <sheetViews>
    <sheetView tabSelected="1" workbookViewId="0"/>
  </sheetViews>
  <sheetFormatPr defaultRowHeight="15"/>
  <cols>
    <col min="1" max="1" width="4.7109375" customWidth="1"/>
    <col min="2" max="2" width="22.7109375" customWidth="1"/>
    <col min="3" max="3" width="14.7109375" customWidth="1"/>
    <col min="4" max="4" width="18.7109375" customWidth="1"/>
    <col min="5" max="5" width="14.7109375" customWidth="1"/>
    <col min="6" max="8" width="12.7109375" customWidth="1"/>
  </cols>
  <sheetData>
    <row r="2" spans="2:8" ht="35.25" customHeight="1">
      <c r="B2" s="1" t="s">
        <v>0</v>
      </c>
      <c r="C2" s="1"/>
      <c r="D2" s="1"/>
      <c r="E2" s="1"/>
      <c r="F2" s="1"/>
      <c r="G2" s="1"/>
      <c r="H2" s="1"/>
    </row>
    <row r="4" spans="2:8">
      <c r="B4" s="2" t="s">
        <v>1</v>
      </c>
      <c r="C4" s="2"/>
      <c r="D4" s="2"/>
      <c r="F4" s="2" t="s">
        <v>11</v>
      </c>
      <c r="G4" s="2"/>
      <c r="H4" s="2"/>
    </row>
    <row r="5" spans="2:8">
      <c r="B5" s="3" t="s">
        <v>2</v>
      </c>
      <c r="C5" s="4">
        <v>25</v>
      </c>
      <c r="F5" s="5" t="s">
        <v>12</v>
      </c>
      <c r="G5" s="5" t="s">
        <v>13</v>
      </c>
      <c r="H5" s="5" t="s">
        <v>14</v>
      </c>
    </row>
    <row r="6" spans="2:8">
      <c r="B6" s="3" t="s">
        <v>3</v>
      </c>
      <c r="C6" s="4">
        <v>45</v>
      </c>
    </row>
    <row r="7" spans="2:8">
      <c r="B7" s="3" t="s">
        <v>4</v>
      </c>
      <c r="C7" s="4">
        <v>9.81</v>
      </c>
      <c r="F7" s="6">
        <f>ROUND($C$10 * 0.0, 2)</f>
        <v>0</v>
      </c>
      <c r="G7" s="6">
        <f>$C$13 * F7</f>
        <v>0</v>
      </c>
      <c r="H7" s="6">
        <f>MAX(0, ($C$14 * F7) - (0.5 * $C$7 * (F7^2)))</f>
        <v>0</v>
      </c>
    </row>
    <row r="8" spans="2:8">
      <c r="F8" s="6">
        <f>ROUND($C$10 * 0.05, 2)</f>
        <v>0</v>
      </c>
      <c r="G8" s="6">
        <f>$C$13 * F8</f>
        <v>0</v>
      </c>
      <c r="H8" s="6">
        <f>MAX(0, ($C$14 * F8) - (0.5 * $C$7 * (F8^2)))</f>
        <v>0</v>
      </c>
    </row>
    <row r="9" spans="2:8">
      <c r="B9" s="2" t="s">
        <v>5</v>
      </c>
      <c r="C9" s="2"/>
      <c r="D9" s="2"/>
      <c r="F9" s="6">
        <f>ROUND($C$10 * 0.1, 2)</f>
        <v>0</v>
      </c>
      <c r="G9" s="6">
        <f>$C$13 * F9</f>
        <v>0</v>
      </c>
      <c r="H9" s="6">
        <f>MAX(0, ($C$14 * F9) - (0.5 * $C$7 * (F9^2)))</f>
        <v>0</v>
      </c>
    </row>
    <row r="10" spans="2:8">
      <c r="B10" s="3" t="s">
        <v>6</v>
      </c>
      <c r="C10" s="7">
        <f>2 * C5 * SIN(RADIANS(C6)) / C7</f>
        <v>0</v>
      </c>
      <c r="F10" s="6">
        <f>ROUND($C$10 * 0.15, 2)</f>
        <v>0</v>
      </c>
      <c r="G10" s="6">
        <f>$C$13 * F10</f>
        <v>0</v>
      </c>
      <c r="H10" s="6">
        <f>MAX(0, ($C$14 * F10) - (0.5 * $C$7 * (F10^2)))</f>
        <v>0</v>
      </c>
    </row>
    <row r="11" spans="2:8">
      <c r="B11" s="3" t="s">
        <v>7</v>
      </c>
      <c r="C11" s="7">
        <f>(C5 * SIN(RADIANS(C6)))^2 / (2 * C7)</f>
        <v>0</v>
      </c>
      <c r="F11" s="6">
        <f>ROUND($C$10 * 0.2, 2)</f>
        <v>0</v>
      </c>
      <c r="G11" s="6">
        <f>$C$13 * F11</f>
        <v>0</v>
      </c>
      <c r="H11" s="6">
        <f>MAX(0, ($C$14 * F11) - (0.5 * $C$7 * (F11^2)))</f>
        <v>0</v>
      </c>
    </row>
    <row r="12" spans="2:8">
      <c r="B12" s="3" t="s">
        <v>8</v>
      </c>
      <c r="C12" s="7">
        <f>(C5^2 * SIN(2 * RADIANS(C6))) / C7</f>
        <v>0</v>
      </c>
      <c r="F12" s="6">
        <f>ROUND($C$10 * 0.25, 2)</f>
        <v>0</v>
      </c>
      <c r="G12" s="6">
        <f>$C$13 * F12</f>
        <v>0</v>
      </c>
      <c r="H12" s="6">
        <f>MAX(0, ($C$14 * F12) - (0.5 * $C$7 * (F12^2)))</f>
        <v>0</v>
      </c>
    </row>
    <row r="13" spans="2:8">
      <c r="B13" s="3" t="s">
        <v>9</v>
      </c>
      <c r="C13" s="7">
        <f>C5 * COS(RADIANS(C6))</f>
        <v>0</v>
      </c>
      <c r="F13" s="6">
        <f>ROUND($C$10 * 0.3, 2)</f>
        <v>0</v>
      </c>
      <c r="G13" s="6">
        <f>$C$13 * F13</f>
        <v>0</v>
      </c>
      <c r="H13" s="6">
        <f>MAX(0, ($C$14 * F13) - (0.5 * $C$7 * (F13^2)))</f>
        <v>0</v>
      </c>
    </row>
    <row r="14" spans="2:8">
      <c r="B14" s="3" t="s">
        <v>10</v>
      </c>
      <c r="C14" s="7">
        <f>C5 * SIN(RADIANS(C6))</f>
        <v>0</v>
      </c>
      <c r="F14" s="6">
        <f>ROUND($C$10 * 0.35, 2)</f>
        <v>0</v>
      </c>
      <c r="G14" s="6">
        <f>$C$13 * F14</f>
        <v>0</v>
      </c>
      <c r="H14" s="6">
        <f>MAX(0, ($C$14 * F14) - (0.5 * $C$7 * (F14^2)))</f>
        <v>0</v>
      </c>
    </row>
    <row r="15" spans="2:8">
      <c r="F15" s="6">
        <f>ROUND($C$10 * 0.4, 2)</f>
        <v>0</v>
      </c>
      <c r="G15" s="6">
        <f>$C$13 * F15</f>
        <v>0</v>
      </c>
      <c r="H15" s="6">
        <f>MAX(0, ($C$14 * F15) - (0.5 * $C$7 * (F15^2)))</f>
        <v>0</v>
      </c>
    </row>
    <row r="16" spans="2:8">
      <c r="F16" s="6">
        <f>ROUND($C$10 * 0.45, 2)</f>
        <v>0</v>
      </c>
      <c r="G16" s="6">
        <f>$C$13 * F16</f>
        <v>0</v>
      </c>
      <c r="H16" s="6">
        <f>MAX(0, ($C$14 * F16) - (0.5 * $C$7 * (F16^2)))</f>
        <v>0</v>
      </c>
    </row>
    <row r="17" spans="6:8">
      <c r="F17" s="6">
        <f>ROUND($C$10 * 0.5, 2)</f>
        <v>0</v>
      </c>
      <c r="G17" s="6">
        <f>$C$13 * F17</f>
        <v>0</v>
      </c>
      <c r="H17" s="6">
        <f>MAX(0, ($C$14 * F17) - (0.5 * $C$7 * (F17^2)))</f>
        <v>0</v>
      </c>
    </row>
    <row r="18" spans="6:8">
      <c r="F18" s="6">
        <f>ROUND($C$10 * 0.55, 2)</f>
        <v>0</v>
      </c>
      <c r="G18" s="6">
        <f>$C$13 * F18</f>
        <v>0</v>
      </c>
      <c r="H18" s="6">
        <f>MAX(0, ($C$14 * F18) - (0.5 * $C$7 * (F18^2)))</f>
        <v>0</v>
      </c>
    </row>
    <row r="19" spans="6:8">
      <c r="F19" s="6">
        <f>ROUND($C$10 * 0.6, 2)</f>
        <v>0</v>
      </c>
      <c r="G19" s="6">
        <f>$C$13 * F19</f>
        <v>0</v>
      </c>
      <c r="H19" s="6">
        <f>MAX(0, ($C$14 * F19) - (0.5 * $C$7 * (F19^2)))</f>
        <v>0</v>
      </c>
    </row>
    <row r="20" spans="6:8">
      <c r="F20" s="6">
        <f>ROUND($C$10 * 0.65, 2)</f>
        <v>0</v>
      </c>
      <c r="G20" s="6">
        <f>$C$13 * F20</f>
        <v>0</v>
      </c>
      <c r="H20" s="6">
        <f>MAX(0, ($C$14 * F20) - (0.5 * $C$7 * (F20^2)))</f>
        <v>0</v>
      </c>
    </row>
    <row r="21" spans="6:8">
      <c r="F21" s="6">
        <f>ROUND($C$10 * 0.7, 2)</f>
        <v>0</v>
      </c>
      <c r="G21" s="6">
        <f>$C$13 * F21</f>
        <v>0</v>
      </c>
      <c r="H21" s="6">
        <f>MAX(0, ($C$14 * F21) - (0.5 * $C$7 * (F21^2)))</f>
        <v>0</v>
      </c>
    </row>
    <row r="22" spans="6:8">
      <c r="F22" s="6">
        <f>ROUND($C$10 * 0.75, 2)</f>
        <v>0</v>
      </c>
      <c r="G22" s="6">
        <f>$C$13 * F22</f>
        <v>0</v>
      </c>
      <c r="H22" s="6">
        <f>MAX(0, ($C$14 * F22) - (0.5 * $C$7 * (F22^2)))</f>
        <v>0</v>
      </c>
    </row>
    <row r="23" spans="6:8">
      <c r="F23" s="6">
        <f>ROUND($C$10 * 0.8, 2)</f>
        <v>0</v>
      </c>
      <c r="G23" s="6">
        <f>$C$13 * F23</f>
        <v>0</v>
      </c>
      <c r="H23" s="6">
        <f>MAX(0, ($C$14 * F23) - (0.5 * $C$7 * (F23^2)))</f>
        <v>0</v>
      </c>
    </row>
    <row r="24" spans="6:8">
      <c r="F24" s="6">
        <f>ROUND($C$10 * 0.85, 2)</f>
        <v>0</v>
      </c>
      <c r="G24" s="6">
        <f>$C$13 * F24</f>
        <v>0</v>
      </c>
      <c r="H24" s="6">
        <f>MAX(0, ($C$14 * F24) - (0.5 * $C$7 * (F24^2)))</f>
        <v>0</v>
      </c>
    </row>
    <row r="25" spans="6:8">
      <c r="F25" s="6">
        <f>ROUND($C$10 * 0.9, 2)</f>
        <v>0</v>
      </c>
      <c r="G25" s="6">
        <f>$C$13 * F25</f>
        <v>0</v>
      </c>
      <c r="H25" s="6">
        <f>MAX(0, ($C$14 * F25) - (0.5 * $C$7 * (F25^2)))</f>
        <v>0</v>
      </c>
    </row>
    <row r="26" spans="6:8">
      <c r="F26" s="6">
        <f>ROUND($C$10 * 0.95, 2)</f>
        <v>0</v>
      </c>
      <c r="G26" s="6">
        <f>$C$13 * F26</f>
        <v>0</v>
      </c>
      <c r="H26" s="6">
        <f>MAX(0, ($C$14 * F26) - (0.5 * $C$7 * (F26^2)))</f>
        <v>0</v>
      </c>
    </row>
    <row r="27" spans="6:8">
      <c r="F27" s="6">
        <f>ROUND($C$10 * 1.0, 2)</f>
        <v>0</v>
      </c>
      <c r="G27" s="6">
        <f>$C$13 * F27</f>
        <v>0</v>
      </c>
      <c r="H27" s="6">
        <f>MAX(0, ($C$14 * F27) - (0.5 * $C$7 * (F27^2)))</f>
        <v>0</v>
      </c>
    </row>
  </sheetData>
  <mergeCells count="4">
    <mergeCell ref="B2:H2"/>
    <mergeCell ref="B4:D4"/>
    <mergeCell ref="B9:D9"/>
    <mergeCell ref="F4:H4"/>
  </mergeCells>
  <dataValidations count="1">
    <dataValidation type="decimal" allowBlank="1" showInputMessage="1" showErrorMessage="1" promptTitle="Launch Angle" prompt="Enter angle between 1° and 89°" sqref="C6">
      <formula1>1</formula1>
      <formula2>89</formula2>
    </dataValidation>
  </dataValidation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B2:H12"/>
  <sheetViews>
    <sheetView workbookViewId="0"/>
  </sheetViews>
  <sheetFormatPr defaultRowHeight="15"/>
  <cols>
    <col min="1" max="1" width="4.7109375" customWidth="1"/>
    <col min="2" max="2" width="22.7109375" customWidth="1"/>
    <col min="3" max="5" width="14.7109375" customWidth="1"/>
    <col min="6" max="8" width="16.7109375" customWidth="1"/>
  </cols>
  <sheetData>
    <row r="2" spans="2:8" ht="35.25" customHeight="1">
      <c r="B2" s="8" t="s">
        <v>15</v>
      </c>
      <c r="C2" s="8"/>
      <c r="D2" s="8"/>
      <c r="E2" s="8"/>
      <c r="F2" s="8"/>
      <c r="G2" s="8"/>
    </row>
    <row r="4" spans="2:8">
      <c r="B4" s="9" t="s">
        <v>16</v>
      </c>
      <c r="C4" s="9"/>
      <c r="D4" s="9"/>
      <c r="F4" s="9" t="s">
        <v>20</v>
      </c>
      <c r="G4" s="9"/>
      <c r="H4" s="9"/>
    </row>
    <row r="5" spans="2:8">
      <c r="B5" s="3" t="s">
        <v>17</v>
      </c>
      <c r="C5" s="4" t="s">
        <v>18</v>
      </c>
      <c r="F5" s="5" t="s">
        <v>21</v>
      </c>
      <c r="G5" s="5" t="s">
        <v>22</v>
      </c>
      <c r="H5" s="5" t="s">
        <v>23</v>
      </c>
    </row>
    <row r="6" spans="2:8">
      <c r="B6" s="3" t="s">
        <v>19</v>
      </c>
      <c r="C6" s="4" t="s">
        <v>18</v>
      </c>
      <c r="F6" s="3" t="s">
        <v>24</v>
      </c>
      <c r="G6" s="10">
        <f>COUNTIF(C9:D10, "AA")</f>
        <v>0</v>
      </c>
      <c r="H6" s="11">
        <f>G6 / 4</f>
        <v>0</v>
      </c>
    </row>
    <row r="7" spans="2:8">
      <c r="F7" s="3" t="s">
        <v>25</v>
      </c>
      <c r="G7" s="10">
        <f>COUNTIF(C9:D10, "Aa") + COUNTIF(C9:D10, "aA")</f>
        <v>0</v>
      </c>
      <c r="H7" s="11">
        <f>G7 / 4</f>
        <v>0</v>
      </c>
    </row>
    <row r="8" spans="2:8">
      <c r="C8" s="12">
        <f>MID(C5, 1, 1)</f>
        <v>0</v>
      </c>
      <c r="D8" s="12">
        <f>MID(C5, 2, 1)</f>
        <v>0</v>
      </c>
      <c r="F8" s="3" t="s">
        <v>26</v>
      </c>
      <c r="G8" s="10">
        <f>COUNTIF(C9:D10, "aa")</f>
        <v>0</v>
      </c>
      <c r="H8" s="11">
        <f>G8 / 4</f>
        <v>0</v>
      </c>
    </row>
    <row r="9" spans="2:8">
      <c r="B9" s="12">
        <f>MID(C6, 1, 1)</f>
        <v>0</v>
      </c>
      <c r="C9" s="13">
        <f>C8 &amp; B9</f>
        <v>0</v>
      </c>
      <c r="D9" s="13">
        <f>D8 &amp; B9</f>
        <v>0</v>
      </c>
    </row>
    <row r="10" spans="2:8">
      <c r="B10" s="12">
        <f>MID(C6, 2, 1)</f>
        <v>0</v>
      </c>
      <c r="C10" s="13">
        <f>C8 &amp; B10</f>
        <v>0</v>
      </c>
      <c r="D10" s="13">
        <f>D8 &amp; B10</f>
        <v>0</v>
      </c>
      <c r="F10" s="9" t="s">
        <v>27</v>
      </c>
      <c r="G10" s="9"/>
      <c r="H10" s="9"/>
    </row>
    <row r="11" spans="2:8">
      <c r="F11" s="3" t="s">
        <v>28</v>
      </c>
      <c r="G11" s="7">
        <f>G6 + G7</f>
        <v>0</v>
      </c>
      <c r="H11" s="11">
        <f>G11 / 4</f>
        <v>0</v>
      </c>
    </row>
    <row r="12" spans="2:8">
      <c r="F12" s="3" t="s">
        <v>29</v>
      </c>
      <c r="G12" s="7">
        <f>G8</f>
        <v>0</v>
      </c>
      <c r="H12" s="11">
        <f>G12 / 4</f>
        <v>0</v>
      </c>
    </row>
  </sheetData>
  <mergeCells count="4">
    <mergeCell ref="B2:G2"/>
    <mergeCell ref="B4:D4"/>
    <mergeCell ref="F4:H4"/>
    <mergeCell ref="F10:H10"/>
  </mergeCells>
  <dataValidations count="2">
    <dataValidation type="list" allowBlank="1" showInputMessage="1" showErrorMessage="1" promptTitle="Genotype" prompt="Choose AA, Aa, or aa" sqref="C5">
      <formula1>"AA,Aa,aa"</formula1>
    </dataValidation>
    <dataValidation type="list" allowBlank="1" showInputMessage="1" showErrorMessage="1" promptTitle="Genotype" prompt="Choose AA, Aa, or aa" sqref="C6">
      <formula1>"AA,Aa,aa"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B2:F31"/>
  <sheetViews>
    <sheetView workbookViewId="0"/>
  </sheetViews>
  <sheetFormatPr defaultRowHeight="15"/>
  <cols>
    <col min="1" max="1" width="4.7109375" customWidth="1"/>
    <col min="2" max="2" width="22.7109375" customWidth="1"/>
    <col min="3" max="3" width="14.7109375" customWidth="1"/>
    <col min="4" max="4" width="4.7109375" customWidth="1"/>
    <col min="5" max="6" width="14.7109375" customWidth="1"/>
  </cols>
  <sheetData>
    <row r="2" spans="2:6" ht="35.25" customHeight="1">
      <c r="B2" s="14" t="s">
        <v>30</v>
      </c>
      <c r="C2" s="14"/>
      <c r="D2" s="14"/>
      <c r="E2" s="14"/>
      <c r="F2" s="14"/>
    </row>
    <row r="4" spans="2:6">
      <c r="B4" s="15" t="s">
        <v>31</v>
      </c>
      <c r="C4" s="15"/>
      <c r="E4" s="15" t="s">
        <v>35</v>
      </c>
      <c r="F4" s="15"/>
    </row>
    <row r="5" spans="2:6">
      <c r="B5" s="3" t="s">
        <v>32</v>
      </c>
      <c r="C5" s="4">
        <v>20</v>
      </c>
      <c r="E5" s="5" t="s">
        <v>36</v>
      </c>
      <c r="F5" s="5" t="s">
        <v>37</v>
      </c>
    </row>
    <row r="6" spans="2:6">
      <c r="B6" s="3" t="s">
        <v>33</v>
      </c>
      <c r="C6" s="4">
        <v>500</v>
      </c>
    </row>
    <row r="7" spans="2:6">
      <c r="B7" s="3" t="s">
        <v>34</v>
      </c>
      <c r="C7" s="4">
        <v>0.25</v>
      </c>
      <c r="E7" s="10">
        <v>0</v>
      </c>
      <c r="F7" s="10">
        <f>ROUND($C$6 / (1 + (($C$6 - $C$5)/$C$5) * EXP(-$C$7 * E7)), 0)</f>
        <v>0</v>
      </c>
    </row>
    <row r="8" spans="2:6">
      <c r="E8" s="10">
        <v>1</v>
      </c>
      <c r="F8" s="10">
        <f>ROUND($C$6 / (1 + (($C$6 - $C$5)/$C$5) * EXP(-$C$7 * E8)), 0)</f>
        <v>0</v>
      </c>
    </row>
    <row r="9" spans="2:6">
      <c r="E9" s="10">
        <v>2</v>
      </c>
      <c r="F9" s="10">
        <f>ROUND($C$6 / (1 + (($C$6 - $C$5)/$C$5) * EXP(-$C$7 * E9)), 0)</f>
        <v>0</v>
      </c>
    </row>
    <row r="10" spans="2:6">
      <c r="E10" s="10">
        <v>3</v>
      </c>
      <c r="F10" s="10">
        <f>ROUND($C$6 / (1 + (($C$6 - $C$5)/$C$5) * EXP(-$C$7 * E10)), 0)</f>
        <v>0</v>
      </c>
    </row>
    <row r="11" spans="2:6">
      <c r="E11" s="10">
        <v>4</v>
      </c>
      <c r="F11" s="10">
        <f>ROUND($C$6 / (1 + (($C$6 - $C$5)/$C$5) * EXP(-$C$7 * E11)), 0)</f>
        <v>0</v>
      </c>
    </row>
    <row r="12" spans="2:6">
      <c r="E12" s="10">
        <v>5</v>
      </c>
      <c r="F12" s="10">
        <f>ROUND($C$6 / (1 + (($C$6 - $C$5)/$C$5) * EXP(-$C$7 * E12)), 0)</f>
        <v>0</v>
      </c>
    </row>
    <row r="13" spans="2:6">
      <c r="E13" s="10">
        <v>6</v>
      </c>
      <c r="F13" s="10">
        <f>ROUND($C$6 / (1 + (($C$6 - $C$5)/$C$5) * EXP(-$C$7 * E13)), 0)</f>
        <v>0</v>
      </c>
    </row>
    <row r="14" spans="2:6">
      <c r="E14" s="10">
        <v>7</v>
      </c>
      <c r="F14" s="10">
        <f>ROUND($C$6 / (1 + (($C$6 - $C$5)/$C$5) * EXP(-$C$7 * E14)), 0)</f>
        <v>0</v>
      </c>
    </row>
    <row r="15" spans="2:6">
      <c r="E15" s="10">
        <v>8</v>
      </c>
      <c r="F15" s="10">
        <f>ROUND($C$6 / (1 + (($C$6 - $C$5)/$C$5) * EXP(-$C$7 * E15)), 0)</f>
        <v>0</v>
      </c>
    </row>
    <row r="16" spans="2:6">
      <c r="E16" s="10">
        <v>9</v>
      </c>
      <c r="F16" s="10">
        <f>ROUND($C$6 / (1 + (($C$6 - $C$5)/$C$5) * EXP(-$C$7 * E16)), 0)</f>
        <v>0</v>
      </c>
    </row>
    <row r="17" spans="5:6">
      <c r="E17" s="10">
        <v>10</v>
      </c>
      <c r="F17" s="10">
        <f>ROUND($C$6 / (1 + (($C$6 - $C$5)/$C$5) * EXP(-$C$7 * E17)), 0)</f>
        <v>0</v>
      </c>
    </row>
    <row r="18" spans="5:6">
      <c r="E18" s="10">
        <v>11</v>
      </c>
      <c r="F18" s="10">
        <f>ROUND($C$6 / (1 + (($C$6 - $C$5)/$C$5) * EXP(-$C$7 * E18)), 0)</f>
        <v>0</v>
      </c>
    </row>
    <row r="19" spans="5:6">
      <c r="E19" s="10">
        <v>12</v>
      </c>
      <c r="F19" s="10">
        <f>ROUND($C$6 / (1 + (($C$6 - $C$5)/$C$5) * EXP(-$C$7 * E19)), 0)</f>
        <v>0</v>
      </c>
    </row>
    <row r="20" spans="5:6">
      <c r="E20" s="10">
        <v>13</v>
      </c>
      <c r="F20" s="10">
        <f>ROUND($C$6 / (1 + (($C$6 - $C$5)/$C$5) * EXP(-$C$7 * E20)), 0)</f>
        <v>0</v>
      </c>
    </row>
    <row r="21" spans="5:6">
      <c r="E21" s="10">
        <v>14</v>
      </c>
      <c r="F21" s="10">
        <f>ROUND($C$6 / (1 + (($C$6 - $C$5)/$C$5) * EXP(-$C$7 * E21)), 0)</f>
        <v>0</v>
      </c>
    </row>
    <row r="22" spans="5:6">
      <c r="E22" s="10">
        <v>15</v>
      </c>
      <c r="F22" s="10">
        <f>ROUND($C$6 / (1 + (($C$6 - $C$5)/$C$5) * EXP(-$C$7 * E22)), 0)</f>
        <v>0</v>
      </c>
    </row>
    <row r="23" spans="5:6">
      <c r="E23" s="10">
        <v>16</v>
      </c>
      <c r="F23" s="10">
        <f>ROUND($C$6 / (1 + (($C$6 - $C$5)/$C$5) * EXP(-$C$7 * E23)), 0)</f>
        <v>0</v>
      </c>
    </row>
    <row r="24" spans="5:6">
      <c r="E24" s="10">
        <v>17</v>
      </c>
      <c r="F24" s="10">
        <f>ROUND($C$6 / (1 + (($C$6 - $C$5)/$C$5) * EXP(-$C$7 * E24)), 0)</f>
        <v>0</v>
      </c>
    </row>
    <row r="25" spans="5:6">
      <c r="E25" s="10">
        <v>18</v>
      </c>
      <c r="F25" s="10">
        <f>ROUND($C$6 / (1 + (($C$6 - $C$5)/$C$5) * EXP(-$C$7 * E25)), 0)</f>
        <v>0</v>
      </c>
    </row>
    <row r="26" spans="5:6">
      <c r="E26" s="10">
        <v>19</v>
      </c>
      <c r="F26" s="10">
        <f>ROUND($C$6 / (1 + (($C$6 - $C$5)/$C$5) * EXP(-$C$7 * E26)), 0)</f>
        <v>0</v>
      </c>
    </row>
    <row r="27" spans="5:6">
      <c r="E27" s="10">
        <v>20</v>
      </c>
      <c r="F27" s="10">
        <f>ROUND($C$6 / (1 + (($C$6 - $C$5)/$C$5) * EXP(-$C$7 * E27)), 0)</f>
        <v>0</v>
      </c>
    </row>
    <row r="28" spans="5:6">
      <c r="E28" s="10">
        <v>21</v>
      </c>
      <c r="F28" s="10">
        <f>ROUND($C$6 / (1 + (($C$6 - $C$5)/$C$5) * EXP(-$C$7 * E28)), 0)</f>
        <v>0</v>
      </c>
    </row>
    <row r="29" spans="5:6">
      <c r="E29" s="10">
        <v>22</v>
      </c>
      <c r="F29" s="10">
        <f>ROUND($C$6 / (1 + (($C$6 - $C$5)/$C$5) * EXP(-$C$7 * E29)), 0)</f>
        <v>0</v>
      </c>
    </row>
    <row r="30" spans="5:6">
      <c r="E30" s="10">
        <v>23</v>
      </c>
      <c r="F30" s="10">
        <f>ROUND($C$6 / (1 + (($C$6 - $C$5)/$C$5) * EXP(-$C$7 * E30)), 0)</f>
        <v>0</v>
      </c>
    </row>
    <row r="31" spans="5:6">
      <c r="E31" s="10">
        <v>24</v>
      </c>
      <c r="F31" s="10">
        <f>ROUND($C$6 / (1 + (($C$6 - $C$5)/$C$5) * EXP(-$C$7 * E31)), 0)</f>
        <v>0</v>
      </c>
    </row>
  </sheetData>
  <mergeCells count="3">
    <mergeCell ref="B2:F2"/>
    <mergeCell ref="B4:C4"/>
    <mergeCell ref="E4:F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⚡ Projectile Motion</vt:lpstr>
      <vt:lpstr>🧬 Genetics &amp; Punnett</vt:lpstr>
      <vt:lpstr>🌱 Population Ecology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2026-10-22T12:52:28Z</dcterms:created>
  <dcterms:modified xsi:type="dcterms:W3CDTF">2026-10-22T12:52:28Z</dcterms:modified>
</cp:coreProperties>
</file>